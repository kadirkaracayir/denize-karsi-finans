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yf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<sst xmlns="http://schemas.openxmlformats.org/spreadsheetml/2006/main" count="58" uniqueCount="46">
  <si>
    <t xml:space="preserve">İSİM</t>
  </si>
  <si>
    <t xml:space="preserve">CUMA </t>
  </si>
  <si>
    <t xml:space="preserve">CUMARTESİ </t>
  </si>
  <si>
    <t xml:space="preserve">PAZAR</t>
  </si>
  <si>
    <t xml:space="preserve">GİRİŞ </t>
  </si>
  <si>
    <t xml:space="preserve">ÇIKIŞ</t>
  </si>
  <si>
    <t xml:space="preserve">ÜCRET</t>
  </si>
  <si>
    <t xml:space="preserve">AVANS </t>
  </si>
  <si>
    <t xml:space="preserve">TOPLAM</t>
  </si>
  <si>
    <t xml:space="preserve">TOPLAM </t>
  </si>
  <si>
    <t xml:space="preserve">İSMAİL AKAR</t>
  </si>
  <si>
    <t xml:space="preserve">AYLİN ŞAHBUDAK</t>
  </si>
  <si>
    <t xml:space="preserve">ÇİĞDEM İNAL</t>
  </si>
  <si>
    <t xml:space="preserve">SERKAN ALAOĞLU</t>
  </si>
  <si>
    <t xml:space="preserve">GÖRKEM BİLGE</t>
  </si>
  <si>
    <t xml:space="preserve">EFE KAVAK</t>
  </si>
  <si>
    <t xml:space="preserve">MÜSLÜM YAVUZ</t>
  </si>
  <si>
    <t xml:space="preserve">MUKADDES EDİS</t>
  </si>
  <si>
    <t xml:space="preserve">SEVDA NEVRUZ</t>
  </si>
  <si>
    <t xml:space="preserve">EBRU RÜMEYSA MARAL</t>
  </si>
  <si>
    <t xml:space="preserve">UĞUR KARAKALE</t>
  </si>
  <si>
    <t xml:space="preserve">ATİLLA ALAN</t>
  </si>
  <si>
    <t xml:space="preserve">KAAN SÜRÜLEN</t>
  </si>
  <si>
    <t xml:space="preserve">ABDULBEKİR ÇEVİK</t>
  </si>
  <si>
    <t xml:space="preserve">YUSUF RÜSTEMZADE</t>
  </si>
  <si>
    <t xml:space="preserve">MERT KOLDEMİR</t>
  </si>
  <si>
    <t xml:space="preserve">ALİCAN BONCUK</t>
  </si>
  <si>
    <t xml:space="preserve">KADRİYE PEKSOY</t>
  </si>
  <si>
    <t xml:space="preserve">SERKAN SAY</t>
  </si>
  <si>
    <t xml:space="preserve">NİHAL ŞAHİN</t>
  </si>
  <si>
    <t xml:space="preserve">FURKAN EKEN</t>
  </si>
  <si>
    <t xml:space="preserve">MUSTAFA CULHA</t>
  </si>
  <si>
    <t xml:space="preserve">HASAN BEKÇİ</t>
  </si>
  <si>
    <t xml:space="preserve">MEHMET BEKÇİ</t>
  </si>
  <si>
    <t xml:space="preserve">OSMAN BEKÇİ</t>
  </si>
  <si>
    <t xml:space="preserve">BERAT KOÇ</t>
  </si>
  <si>
    <t xml:space="preserve">BANU ALAOĞLU</t>
  </si>
  <si>
    <t xml:space="preserve">BURCU ECEM BAYSAL</t>
  </si>
  <si>
    <t xml:space="preserve">BEKİR ESMER</t>
  </si>
  <si>
    <t xml:space="preserve">YAĞMUR KAHRAMAN</t>
  </si>
  <si>
    <t xml:space="preserve">OSMAN YETİŞ</t>
  </si>
  <si>
    <t xml:space="preserve">AHMET EFE</t>
  </si>
  <si>
    <t xml:space="preserve">ARDA GÖKÇELİ</t>
  </si>
  <si>
    <t xml:space="preserve">SİBEL ÇALİŞKAN</t>
  </si>
  <si>
    <t xml:space="preserve">ESRA BENLİ</t>
  </si>
  <si>
    <t xml:space="preserve">İLAYDA ŞİMŞEK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</si>
</sst>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hh:mm"/>
    <numFmt numFmtId="167" formatCode="hh:mm;@"/>
    <numFmt numFmtId="168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5" tint="0.3999"/>
        <bgColor rgb="FFFF99CC"/>
      </patternFill>
    </fill>
    <fill>
      <patternFill patternType="solid">
        <fgColor theme="4" tint="0.5999"/>
        <bgColor rgb="FFC0C0C0"/>
      </patternFill>
    </fill>
    <fill>
      <patternFill patternType="solid">
        <fgColor theme="4" tint="0.3999"/>
        <bgColor rgb="FFC0C0C0"/>
      </patternFill>
    </fill>
    <fill>
      <patternFill patternType="solid">
        <fgColor theme="0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5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5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5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eması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7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7" activeCellId="0" sqref="H7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1" min="1" style="1" width="19.73"/>
    <col collapsed="false" customWidth="true" hidden="false" outlineLevel="0" max="2" min="2" style="2" width="11.54"/>
    <col collapsed="false" customWidth="true" hidden="false" outlineLevel="0" max="3" min="3" style="2" width="11.36"/>
    <col collapsed="false" customWidth="true" hidden="false" outlineLevel="0" max="4" min="4" style="2" width="10.36"/>
    <col collapsed="false" customWidth="true" hidden="false" outlineLevel="0" max="5" min="5" style="2" width="10.63"/>
    <col collapsed="false" customWidth="true" hidden="false" outlineLevel="0" max="6" min="6" style="2" width="9.73"/>
    <col collapsed="false" customWidth="true" hidden="false" outlineLevel="0" max="7" min="7" style="2" width="8.73"/>
    <col collapsed="false" customWidth="true" hidden="false" outlineLevel="0" max="8" min="8" style="2" width="11"/>
    <col collapsed="false" customWidth="true" hidden="false" outlineLevel="0" max="9" min="9" style="2" width="9.09"/>
    <col collapsed="false" customWidth="true" hidden="false" outlineLevel="0" max="10" min="10" style="2" width="9.91"/>
    <col collapsed="false" customWidth="true" hidden="false" outlineLevel="0" max="12" min="11" style="2" width="7.91"/>
    <col collapsed="false" customWidth="true" hidden="false" outlineLevel="0" max="13" min="13" style="2" width="9.18"/>
    <col collapsed="false" customWidth="true" hidden="false" outlineLevel="0" max="14" min="14" style="2" width="7.36"/>
    <col collapsed="false" customWidth="true" hidden="false" outlineLevel="0" max="15" min="15" style="2" width="8.36"/>
    <col collapsed="false" customWidth="true" hidden="false" outlineLevel="0" max="16" min="16" style="2" width="9.18"/>
    <col collapsed="false" customWidth="true" hidden="false" outlineLevel="0" max="17" min="17" style="2" width="7.82"/>
    <col collapsed="false" customWidth="true" hidden="true" outlineLevel="0" max="18" min="18" style="2" width="11.53"/>
    <col collapsed="false" customWidth="true" hidden="false" outlineLevel="0" max="19" min="19" style="2" width="14"/>
    <col collapsed="false" customWidth="true" hidden="false" outlineLevel="0" max="22" min="22" style="0" width="17"/>
    <col collapsed="false" customWidth="true" hidden="false" outlineLevel="0" max="23" min="23" style="0" width="13.63"/>
  </cols>
  <sheetData>
    <row r="1" s="1" customFormat="true" ht="23.25" hidden="false" customHeight="true" outlineLevel="0" collapsed="false">
      <c r="A1" s="3" t="s">
        <v>0</v>
      </c>
      <c r="B1" s="4" t="n">
        <v>46270</v>
      </c>
      <c r="C1" s="4"/>
      <c r="D1" s="5" t="n">
        <v>46271</v>
      </c>
      <c r="E1" s="5"/>
      <c r="F1" s="6" t="n">
        <v>46272</v>
      </c>
      <c r="G1" s="6"/>
      <c r="H1" s="5" t="n">
        <v>46273</v>
      </c>
      <c r="I1" s="5"/>
      <c r="J1" s="7" t="s">
        <v>1</v>
      </c>
      <c r="K1" s="7"/>
      <c r="L1" s="8" t="s">
        <v>2</v>
      </c>
      <c r="M1" s="8"/>
      <c r="N1" s="7" t="s">
        <v>3</v>
      </c>
      <c r="O1" s="7"/>
      <c r="P1" s="9"/>
      <c r="Q1" s="9"/>
      <c r="R1" s="2"/>
      <c r="S1" s="2"/>
    </row>
    <row r="2" s="1" customFormat="true" ht="23.25" hidden="false" customHeight="true" outlineLevel="0" collapsed="false">
      <c r="A2" s="3"/>
      <c r="B2" s="10" t="s">
        <v>4</v>
      </c>
      <c r="C2" s="10" t="s">
        <v>5</v>
      </c>
      <c r="D2" s="10" t="s">
        <v>4</v>
      </c>
      <c r="E2" s="10" t="s">
        <v>5</v>
      </c>
      <c r="F2" s="10" t="s">
        <v>4</v>
      </c>
      <c r="G2" s="10" t="s">
        <v>5</v>
      </c>
      <c r="H2" s="10" t="s">
        <v>4</v>
      </c>
      <c r="I2" s="10" t="s">
        <v>5</v>
      </c>
      <c r="J2" s="10" t="s">
        <v>4</v>
      </c>
      <c r="K2" s="10" t="s">
        <v>5</v>
      </c>
      <c r="L2" s="10" t="s">
        <v>4</v>
      </c>
      <c r="M2" s="10" t="s">
        <v>5</v>
      </c>
      <c r="N2" s="10" t="s">
        <v>4</v>
      </c>
      <c r="O2" s="11" t="s">
        <v>5</v>
      </c>
      <c r="P2" s="11" t="s">
        <v>6</v>
      </c>
      <c r="Q2" s="11" t="s">
        <v>7</v>
      </c>
      <c r="R2" s="12" t="s">
        <v>8</v>
      </c>
      <c r="S2" s="13" t="s">
        <v>9</v>
      </c>
    </row>
    <row r="3" s="1" customFormat="true" ht="16.5" hidden="false" customHeight="true" outlineLevel="0" collapsed="false">
      <c r="A3" s="14" t="s">
        <v>10</v>
      </c>
      <c r="B3" s="15" t="n">
        <v>0.395833333333333</v>
      </c>
      <c r="C3" s="15" t="n">
        <v>1</v>
      </c>
      <c r="D3" s="15" t="n">
        <v>0.409722222222222</v>
      </c>
      <c r="E3" s="15" t="n">
        <v>0.791666666666667</v>
      </c>
      <c r="F3" s="15" t="n">
        <v>0.354166666666667</v>
      </c>
      <c r="G3" s="16" t="n">
        <v>1</v>
      </c>
      <c r="H3" s="15" t="n">
        <v>0.375</v>
      </c>
      <c r="I3" s="16" t="n">
        <v>0.84375</v>
      </c>
      <c r="J3" s="15"/>
      <c r="K3" s="16"/>
      <c r="L3" s="15"/>
      <c r="M3" s="15"/>
      <c r="N3" s="15"/>
      <c r="O3" s="15"/>
      <c r="P3" s="17" t="n">
        <v>200</v>
      </c>
      <c r="Q3" s="12"/>
      <c r="R3" s="12"/>
      <c r="S3" s="17" t="n">
        <f aca="false">(((C3-B3)+(C3&lt;B3))*24+((E3-D3)+(E3&lt;D3))*24+((G3-F3)+(G3&lt;F3))*24+((I3-H3)+(I3&lt;H3))*24+((K3-J3)+(K3&lt;J3))*24+((M3-L3)+(M3&lt;L3))*24+((O3-N3)+(O3&lt;N3))*24)*P3</f>
        <v>10083.3333333333</v>
      </c>
    </row>
    <row r="4" s="1" customFormat="true" ht="16.5" hidden="false" customHeight="true" outlineLevel="0" collapsed="false">
      <c r="A4" s="14" t="s">
        <v>11</v>
      </c>
      <c r="B4" s="15" t="n">
        <v>0.375</v>
      </c>
      <c r="C4" s="15" t="n">
        <v>0.8125</v>
      </c>
      <c r="D4" s="15" t="n">
        <v>0.5</v>
      </c>
      <c r="E4" s="16" t="n">
        <v>1</v>
      </c>
      <c r="F4" s="15" t="n">
        <v>0.395833333333333</v>
      </c>
      <c r="G4" s="16" t="n">
        <v>0.75</v>
      </c>
      <c r="H4" s="15" t="n">
        <v>0.375</v>
      </c>
      <c r="I4" s="15" t="n">
        <v>0.75</v>
      </c>
      <c r="J4" s="15"/>
      <c r="K4" s="16"/>
      <c r="L4" s="15"/>
      <c r="M4" s="15"/>
      <c r="N4" s="15"/>
      <c r="O4" s="15"/>
      <c r="P4" s="17" t="n">
        <v>150</v>
      </c>
      <c r="Q4" s="12"/>
      <c r="R4" s="12"/>
      <c r="S4" s="17" t="n">
        <f aca="false">(((C4-B4)+(C4&lt;B4))*24+((E4-D4)+(E4&lt;D4))*24+((G4-F4)+(G4&lt;F4))*24+((I4-H4)+(I4&lt;H4))*24+((K4-J4)+(K4&lt;J4))*24+((M4-L4)+(M4&lt;L4))*24+((O4-N4)+(O4&lt;N4))*24)*P4</f>
        <v>6000</v>
      </c>
    </row>
    <row r="5" s="1" customFormat="true" ht="16.5" hidden="false" customHeight="true" outlineLevel="0" collapsed="false">
      <c r="A5" s="14" t="s">
        <v>12</v>
      </c>
      <c r="B5" s="15" t="n">
        <v>0.354166666666667</v>
      </c>
      <c r="C5" s="16" t="n">
        <v>0.625</v>
      </c>
      <c r="D5" s="15"/>
      <c r="E5" s="16"/>
      <c r="F5" s="15"/>
      <c r="G5" s="16"/>
      <c r="H5" s="15"/>
      <c r="I5" s="16"/>
      <c r="J5" s="15"/>
      <c r="K5" s="16"/>
      <c r="L5" s="15"/>
      <c r="M5" s="15"/>
      <c r="N5" s="15"/>
      <c r="O5" s="15"/>
      <c r="P5" s="17" t="n">
        <v>230</v>
      </c>
      <c r="Q5" s="12"/>
      <c r="R5" s="12"/>
      <c r="S5" s="18" t="n">
        <f aca="false">(((C5-B5)+(C5&lt;B5))*24+((E5-D5)+(E5&lt;D5))*24+((G5-F5)+(G5&lt;F5))*24+((I5-H5)+(I5&lt;H5))*24+((K5-J5)+(K5&lt;J5))*24+((M5-L5)+(M5&lt;L5))*24+((O5-N5)+(O5&lt;N5))*24)*P5</f>
        <v>1495</v>
      </c>
    </row>
    <row r="6" s="1" customFormat="true" ht="16.5" hidden="false" customHeight="true" outlineLevel="0" collapsed="false">
      <c r="A6" s="14" t="s">
        <v>13</v>
      </c>
      <c r="B6" s="15" t="n">
        <v>0.416666666666667</v>
      </c>
      <c r="C6" s="16" t="n">
        <v>0.791666666666667</v>
      </c>
      <c r="D6" s="15" t="n">
        <v>0.416666666666667</v>
      </c>
      <c r="E6" s="16" t="n">
        <v>0.819444444444445</v>
      </c>
      <c r="F6" s="15" t="n">
        <v>0.416666666666667</v>
      </c>
      <c r="G6" s="16" t="n">
        <v>0.916666666666667</v>
      </c>
      <c r="H6" s="15" t="n">
        <v>0.416666666666667</v>
      </c>
      <c r="I6" s="15" t="n">
        <v>0.791666666666667</v>
      </c>
      <c r="J6" s="15"/>
      <c r="K6" s="16"/>
      <c r="L6" s="15"/>
      <c r="M6" s="16"/>
      <c r="N6" s="15"/>
      <c r="O6" s="16"/>
      <c r="P6" s="17" t="n">
        <v>140</v>
      </c>
      <c r="Q6" s="12"/>
      <c r="R6" s="12"/>
      <c r="S6" s="18" t="n">
        <f aca="false">(((C6-B6)+(C6&lt;B6))*24+((E6-D6)+(E6&lt;D6))*24+((G6-F6)+(G6&lt;F6))*24+((I6-H6)+(I6&lt;H6))*24+((K6-J6)+(K6&lt;J6))*24+((M6-L6)+(M6&lt;L6))*24+((O6-N6)+(O6&lt;N6))*24)*P6</f>
        <v>5553.33333333333</v>
      </c>
    </row>
    <row r="7" s="1" customFormat="true" ht="16.5" hidden="false" customHeight="true" outlineLevel="0" collapsed="false">
      <c r="A7" s="14" t="s">
        <v>14</v>
      </c>
      <c r="B7" s="15" t="n">
        <v>0.625</v>
      </c>
      <c r="C7" s="16" t="n">
        <v>1</v>
      </c>
      <c r="D7" s="15"/>
      <c r="E7" s="16"/>
      <c r="F7" s="15"/>
      <c r="G7" s="16"/>
      <c r="H7" s="15" t="n">
        <v>0.625</v>
      </c>
      <c r="I7" s="16" t="n">
        <v>1</v>
      </c>
      <c r="J7" s="15"/>
      <c r="K7" s="16"/>
      <c r="L7" s="15"/>
      <c r="M7" s="16"/>
      <c r="N7" s="15"/>
      <c r="O7" s="16"/>
      <c r="P7" s="17" t="n">
        <v>150</v>
      </c>
      <c r="Q7" s="12"/>
      <c r="R7" s="12"/>
      <c r="S7" s="18" t="n">
        <f aca="false">(((C7-B7)+(C7&lt;B7))*24+((E7-D7)+(E7&lt;D7))*24+((G7-F7)+(G7&lt;F7))*24+((I7-H7)+(I7&lt;H7))*24+((K7-J7)+(K7&lt;J7))*24+((M7-L7)+(M7&lt;L7))*24+((O7-N7)+(O7&lt;N7))*24)*P7</f>
        <v>2700</v>
      </c>
    </row>
    <row r="8" s="1" customFormat="true" ht="16.5" hidden="false" customHeight="true" outlineLevel="0" collapsed="false">
      <c r="A8" s="14" t="s">
        <v>15</v>
      </c>
      <c r="B8" s="15" t="n">
        <v>0.583333333333333</v>
      </c>
      <c r="C8" s="15" t="n">
        <v>1</v>
      </c>
      <c r="D8" s="15" t="n">
        <v>0.604166666666667</v>
      </c>
      <c r="E8" s="15" t="n">
        <v>1</v>
      </c>
      <c r="F8" s="15"/>
      <c r="G8" s="16"/>
      <c r="H8" s="15" t="n">
        <v>0.583333333333333</v>
      </c>
      <c r="I8" s="15" t="n">
        <v>1</v>
      </c>
      <c r="J8" s="19"/>
      <c r="K8" s="19"/>
      <c r="L8" s="15"/>
      <c r="M8" s="16"/>
      <c r="N8" s="15"/>
      <c r="O8" s="16"/>
      <c r="P8" s="17" t="n">
        <v>140</v>
      </c>
      <c r="Q8" s="12"/>
      <c r="R8" s="12"/>
      <c r="S8" s="18" t="n">
        <f aca="false">(((C8-B8)+(C8&lt;B8))*24+((E8-D8)+(E8&lt;D8))*24+((G8-F8)+(G8&lt;F8))*24+((I8-H8)+(I8&lt;H8))*24+((K8-J8)+(K8&lt;J8))*24+((M8-L8)+(M8&lt;L8))*24+((O8-N8)+(O8&lt;N8))*24)*P8</f>
        <v>4130</v>
      </c>
    </row>
    <row r="9" s="1" customFormat="true" ht="16.5" hidden="false" customHeight="true" outlineLevel="0" collapsed="false">
      <c r="A9" s="14" t="s">
        <v>16</v>
      </c>
      <c r="B9" s="15" t="n">
        <v>0.5625</v>
      </c>
      <c r="C9" s="16" t="n">
        <v>1</v>
      </c>
      <c r="D9" s="15" t="n">
        <v>0.583333333333333</v>
      </c>
      <c r="E9" s="16" t="n">
        <v>1</v>
      </c>
      <c r="F9" s="15"/>
      <c r="G9" s="16"/>
      <c r="H9" s="15" t="n">
        <v>0.583333333333333</v>
      </c>
      <c r="I9" s="15" t="n">
        <v>1</v>
      </c>
      <c r="J9" s="15"/>
      <c r="K9" s="16"/>
      <c r="L9" s="15"/>
      <c r="M9" s="16"/>
      <c r="N9" s="15"/>
      <c r="O9" s="16"/>
      <c r="P9" s="17" t="n">
        <v>150</v>
      </c>
      <c r="Q9" s="12"/>
      <c r="R9" s="12"/>
      <c r="S9" s="18" t="n">
        <f aca="false">(((C9-B9)+(C9&lt;B9))*24+((E9-D9)+(E9&lt;D9))*24+((G9-F9)+(G9&lt;F9))*24+((I9-H9)+(I9&lt;H9))*24+((K9-J9)+(K9&lt;J9))*24+((M9-L9)+(M9&lt;L9))*24+((O9-N9)+(O9&lt;N9))*24)*P9</f>
        <v>4575</v>
      </c>
    </row>
    <row r="10" s="1" customFormat="true" ht="16.5" hidden="false" customHeight="true" outlineLevel="0" collapsed="false">
      <c r="A10" s="14" t="s">
        <v>17</v>
      </c>
      <c r="B10" s="20" t="n">
        <v>0.583333333333333</v>
      </c>
      <c r="C10" s="15" t="n">
        <v>1</v>
      </c>
      <c r="D10" s="15"/>
      <c r="E10" s="16"/>
      <c r="F10" s="15" t="n">
        <v>0.583333333333333</v>
      </c>
      <c r="G10" s="16" t="n">
        <v>1</v>
      </c>
      <c r="H10" s="15" t="n">
        <v>0.583333333333333</v>
      </c>
      <c r="I10" s="16" t="n">
        <v>1</v>
      </c>
      <c r="J10" s="15"/>
      <c r="K10" s="15"/>
      <c r="L10" s="15"/>
      <c r="M10" s="15"/>
      <c r="N10" s="15"/>
      <c r="O10" s="15"/>
      <c r="P10" s="17" t="n">
        <v>150</v>
      </c>
      <c r="Q10" s="12"/>
      <c r="R10" s="12"/>
      <c r="S10" s="18" t="n">
        <f aca="false">(((C10-B10)+(C10&lt;B10))*24+((E10-D10)+(E10&lt;D10))*24+((G10-F10)+(G10&lt;F10))*24+((I10-H10)+(I10&lt;H10))*24+((K10-J10)+(K10&lt;J10))*24+((M10-L10)+(M10&lt;L10))*24+((O10-N10)+(O10&lt;N10))*24)*P10</f>
        <v>4500</v>
      </c>
    </row>
    <row r="11" s="1" customFormat="true" ht="16.5" hidden="false" customHeight="true" outlineLevel="0" collapsed="false">
      <c r="A11" s="14" t="s">
        <v>18</v>
      </c>
      <c r="B11" s="15" t="n">
        <v>0.625</v>
      </c>
      <c r="C11" s="16" t="n">
        <v>0.958333333333333</v>
      </c>
      <c r="D11" s="15" t="n">
        <v>0.625</v>
      </c>
      <c r="E11" s="16" t="n">
        <v>0.666666666666667</v>
      </c>
      <c r="F11" s="15"/>
      <c r="G11" s="16"/>
      <c r="H11" s="15"/>
      <c r="I11" s="16"/>
      <c r="J11" s="15"/>
      <c r="K11" s="16"/>
      <c r="L11" s="15"/>
      <c r="M11" s="15"/>
      <c r="N11" s="15"/>
      <c r="O11" s="15"/>
      <c r="P11" s="17" t="n">
        <v>150</v>
      </c>
      <c r="Q11" s="12"/>
      <c r="R11" s="12"/>
      <c r="S11" s="18" t="n">
        <f aca="false">(((C11-B11)+(C11&lt;B11))*24+((E11-D11)+(E11&lt;D11))*24+((G11-F11)+(G11&lt;F11))*24+((I11-H11)+(I11&lt;H11))*24+((K11-J11)+(K11&lt;J11))*24+((M11-L11)+(M11&lt;L11))*24+((O11-N11)+(O11&lt;N11))*24)*P11</f>
        <v>1350</v>
      </c>
    </row>
    <row r="12" s="1" customFormat="true" ht="16.5" hidden="false" customHeight="true" outlineLevel="0" collapsed="false">
      <c r="A12" s="14" t="s">
        <v>19</v>
      </c>
      <c r="B12" s="15" t="n">
        <v>0.583333333333333</v>
      </c>
      <c r="C12" s="16" t="n">
        <v>1</v>
      </c>
      <c r="D12" s="15" t="n">
        <v>0.666666666666667</v>
      </c>
      <c r="E12" s="15" t="n">
        <v>1</v>
      </c>
      <c r="F12" s="15" t="n">
        <v>0.638888888888889</v>
      </c>
      <c r="G12" s="16" t="n">
        <v>1</v>
      </c>
      <c r="H12" s="15" t="n">
        <v>0.583333333333333</v>
      </c>
      <c r="I12" s="16" t="n">
        <v>1</v>
      </c>
      <c r="J12" s="15"/>
      <c r="K12" s="16"/>
      <c r="L12" s="15"/>
      <c r="M12" s="16"/>
      <c r="N12" s="15"/>
      <c r="O12" s="16"/>
      <c r="P12" s="17" t="n">
        <v>150</v>
      </c>
      <c r="Q12" s="12"/>
      <c r="R12" s="12"/>
      <c r="S12" s="18" t="n">
        <f aca="false">(((C12-B12)+(C12&lt;B12))*24+((E12-D12)+(E12&lt;D12))*24+((G12-F12)+(G12&lt;F12))*24+((I12-H12)+(I12&lt;H12))*24+((K12-J12)+(K12&lt;J12))*24+((M12-L12)+(M12&lt;L12))*24+((O12-N12)+(O12&lt;N12))*24)*P12</f>
        <v>5500</v>
      </c>
    </row>
    <row r="13" s="1" customFormat="true" ht="16.5" hidden="false" customHeight="true" outlineLevel="0" collapsed="false">
      <c r="A13" s="14" t="s">
        <v>20</v>
      </c>
      <c r="B13" s="15" t="n">
        <v>0.5</v>
      </c>
      <c r="C13" s="16" t="n">
        <v>0.833333333333333</v>
      </c>
      <c r="D13" s="15" t="n">
        <v>0.5</v>
      </c>
      <c r="E13" s="16" t="n">
        <v>1</v>
      </c>
      <c r="F13" s="15" t="n">
        <v>0.5</v>
      </c>
      <c r="G13" s="16" t="n">
        <v>1</v>
      </c>
      <c r="H13" s="15" t="n">
        <v>0.5</v>
      </c>
      <c r="I13" s="16" t="n">
        <v>0.833333333333333</v>
      </c>
      <c r="J13" s="15"/>
      <c r="K13" s="16"/>
      <c r="L13" s="15"/>
      <c r="M13" s="16"/>
      <c r="N13" s="15"/>
      <c r="O13" s="16"/>
      <c r="P13" s="17" t="n">
        <v>140</v>
      </c>
      <c r="Q13" s="12"/>
      <c r="R13" s="12"/>
      <c r="S13" s="18" t="n">
        <f aca="false">(((C13-B13)+(C13&lt;B13))*24+((E13-D13)+(E13&lt;D13))*24+((G13-F13)+(G13&lt;F13))*24+((I13-H13)+(I13&lt;H13))*24+((K13-J13)+(K13&lt;J13))*24+((M13-L13)+(M13&lt;L13))*24+((O13-N13)+(O13&lt;N13))*24)*P13</f>
        <v>5600</v>
      </c>
    </row>
    <row r="14" s="1" customFormat="true" ht="16.5" hidden="false" customHeight="true" outlineLevel="0" collapsed="false">
      <c r="A14" s="14" t="s">
        <v>21</v>
      </c>
      <c r="B14" s="15" t="n">
        <v>0.354166666666667</v>
      </c>
      <c r="C14" s="16" t="n">
        <v>0.729166666666667</v>
      </c>
      <c r="D14" s="15"/>
      <c r="E14" s="16"/>
      <c r="F14" s="15" t="n">
        <v>0.354166666666667</v>
      </c>
      <c r="G14" s="16" t="n">
        <v>0.645833333333333</v>
      </c>
      <c r="H14" s="15" t="n">
        <v>0.354166666666667</v>
      </c>
      <c r="I14" s="16" t="n">
        <v>0.708333333333333</v>
      </c>
      <c r="J14" s="15"/>
      <c r="K14" s="16"/>
      <c r="L14" s="15"/>
      <c r="M14" s="16"/>
      <c r="N14" s="15"/>
      <c r="O14" s="16"/>
      <c r="P14" s="17" t="n">
        <v>150</v>
      </c>
      <c r="Q14" s="12"/>
      <c r="R14" s="12"/>
      <c r="S14" s="18" t="n">
        <f aca="false">(((C14-B14)+(C14&lt;B14))*24+((E14-D14)+(E14&lt;D14))*24+((G14-F14)+(G14&lt;F14))*24+((I14-H14)+(I14&lt;H14))*24+((K14-J14)+(K14&lt;J14))*24+((M14-L14)+(M14&lt;L14))*24+((O14-N14)+(O14&lt;N14))*24)*P14</f>
        <v>3675</v>
      </c>
    </row>
    <row r="15" s="1" customFormat="true" ht="16.5" hidden="false" customHeight="true" outlineLevel="0" collapsed="false">
      <c r="A15" s="14" t="s">
        <v>22</v>
      </c>
      <c r="B15" s="15"/>
      <c r="C15" s="16"/>
      <c r="D15" s="15" t="n">
        <v>0.5</v>
      </c>
      <c r="E15" s="15" t="n">
        <v>0.791666666666667</v>
      </c>
      <c r="F15" s="15" t="n">
        <v>0.5</v>
      </c>
      <c r="G15" s="15" t="n">
        <v>1</v>
      </c>
      <c r="H15" s="15"/>
      <c r="I15" s="16"/>
      <c r="J15" s="15"/>
      <c r="K15" s="16"/>
      <c r="L15" s="15"/>
      <c r="M15" s="15"/>
      <c r="N15" s="15"/>
      <c r="O15" s="16"/>
      <c r="P15" s="17" t="n">
        <v>150</v>
      </c>
      <c r="Q15" s="12"/>
      <c r="R15" s="12"/>
      <c r="S15" s="18" t="n">
        <f aca="false">(((C15-B15)+(C15&lt;B15))*24+((E15-D15)+(E15&lt;D15))*24+((G15-F15)+(G15&lt;F15))*24+((I15-H15)+(I15&lt;H15))*24+((K15-J15)+(K15&lt;J15))*24+((M15-L15)+(M15&lt;L15))*24+((O15-N15)+(O15&lt;N15))*24)*P15</f>
        <v>2850</v>
      </c>
    </row>
    <row r="16" s="1" customFormat="true" ht="16.5" hidden="false" customHeight="true" outlineLevel="0" collapsed="false">
      <c r="A16" s="14" t="s">
        <v>23</v>
      </c>
      <c r="B16" s="15"/>
      <c r="C16" s="16"/>
      <c r="D16" s="15" t="n">
        <v>0.583333333333333</v>
      </c>
      <c r="E16" s="16" t="n">
        <v>1</v>
      </c>
      <c r="F16" s="15" t="n">
        <v>0.5</v>
      </c>
      <c r="G16" s="16" t="n">
        <v>1</v>
      </c>
      <c r="H16" s="15" t="n">
        <v>0.583333333333333</v>
      </c>
      <c r="I16" s="16" t="n">
        <v>1</v>
      </c>
      <c r="J16" s="15"/>
      <c r="K16" s="16"/>
      <c r="L16" s="15"/>
      <c r="M16" s="16"/>
      <c r="N16" s="15"/>
      <c r="O16" s="16"/>
      <c r="P16" s="17" t="n">
        <v>150</v>
      </c>
      <c r="Q16" s="12"/>
      <c r="R16" s="12"/>
      <c r="S16" s="18" t="n">
        <f aca="false">(((C16-B16)+(C16&lt;B16))*24+((E16-D16)+(E16&lt;D16))*24+((G16-F16)+(G16&lt;F16))*24+((I16-H16)+(I16&lt;H16))*24+((K16-J16)+(K16&lt;J16))*24+((M16-L16)+(M16&lt;L16))*24+((O16-N16)+(O16&lt;N16))*24)*P16</f>
        <v>4800</v>
      </c>
    </row>
    <row r="17" s="1" customFormat="true" ht="16.5" hidden="false" customHeight="true" outlineLevel="0" collapsed="false">
      <c r="A17" s="14" t="s">
        <v>24</v>
      </c>
      <c r="B17" s="15" t="n">
        <v>0.583333333333333</v>
      </c>
      <c r="C17" s="16" t="n">
        <v>1</v>
      </c>
      <c r="D17" s="15"/>
      <c r="E17" s="16"/>
      <c r="F17" s="15" t="n">
        <v>0.625</v>
      </c>
      <c r="G17" s="16" t="n">
        <v>1</v>
      </c>
      <c r="H17" s="15" t="n">
        <v>0.583333333333333</v>
      </c>
      <c r="I17" s="16" t="n">
        <v>1</v>
      </c>
      <c r="J17" s="15"/>
      <c r="K17" s="16"/>
      <c r="L17" s="15"/>
      <c r="M17" s="16"/>
      <c r="N17" s="15"/>
      <c r="O17" s="15"/>
      <c r="P17" s="17" t="n">
        <v>140</v>
      </c>
      <c r="Q17" s="12"/>
      <c r="R17" s="12"/>
      <c r="S17" s="18" t="n">
        <f aca="false">(((C17-B17)+(C17&lt;B17))*24+((E17-D17)+(E17&lt;D17))*24+((G17-F17)+(G17&lt;F17))*24+((I17-H17)+(I17&lt;H17))*24+((K17-J17)+(K17&lt;J17))*24+((M17-L17)+(M17&lt;L17))*24+((O17-N17)+(O17&lt;N17))*24)*P17</f>
        <v>4060</v>
      </c>
    </row>
    <row r="18" s="1" customFormat="true" ht="16.5" hidden="false" customHeight="true" outlineLevel="0" collapsed="false">
      <c r="A18" s="14" t="s">
        <v>25</v>
      </c>
      <c r="B18" s="15" t="n">
        <v>0.708333333333333</v>
      </c>
      <c r="C18" s="16" t="n">
        <v>1</v>
      </c>
      <c r="D18" s="15" t="n">
        <v>0.625</v>
      </c>
      <c r="E18" s="16" t="n">
        <v>1</v>
      </c>
      <c r="F18" s="15" t="n">
        <v>0.625</v>
      </c>
      <c r="G18" s="16" t="n">
        <v>1</v>
      </c>
      <c r="H18" s="15" t="n">
        <v>0.625</v>
      </c>
      <c r="I18" s="16" t="n">
        <v>1</v>
      </c>
      <c r="J18" s="15"/>
      <c r="K18" s="15"/>
      <c r="L18" s="15"/>
      <c r="M18" s="16"/>
      <c r="N18" s="15"/>
      <c r="O18" s="16"/>
      <c r="P18" s="17" t="n">
        <v>150</v>
      </c>
      <c r="Q18" s="12"/>
      <c r="R18" s="12"/>
      <c r="S18" s="18" t="n">
        <f aca="false">(((C18-B18)+(C18&lt;B18))*24+((E18-D18)+(E18&lt;D18))*24+((G18-F18)+(G18&lt;F18))*24+((I18-H18)+(I18&lt;H18))*24+((K18-J18)+(K18&lt;J18))*24+((M18-L18)+(M18&lt;L18))*24+((O18-N18)+(O18&lt;N18))*24)*P18</f>
        <v>5100</v>
      </c>
    </row>
    <row r="19" s="1" customFormat="true" ht="16.5" hidden="false" customHeight="true" outlineLevel="0" collapsed="false">
      <c r="A19" s="14" t="s">
        <v>26</v>
      </c>
      <c r="B19" s="15" t="n">
        <v>0.5</v>
      </c>
      <c r="C19" s="16" t="n">
        <v>0.833333333333333</v>
      </c>
      <c r="D19" s="15" t="n">
        <v>0.5</v>
      </c>
      <c r="E19" s="16" t="n">
        <v>1</v>
      </c>
      <c r="F19" s="15" t="n">
        <v>0.5</v>
      </c>
      <c r="G19" s="16" t="n">
        <v>1</v>
      </c>
      <c r="H19" s="15" t="n">
        <v>0.5</v>
      </c>
      <c r="I19" s="16" t="n">
        <v>1</v>
      </c>
      <c r="J19" s="15"/>
      <c r="K19" s="16"/>
      <c r="L19" s="15"/>
      <c r="M19" s="15"/>
      <c r="N19" s="15"/>
      <c r="O19" s="15"/>
      <c r="P19" s="17" t="n">
        <v>150</v>
      </c>
      <c r="Q19" s="12"/>
      <c r="R19" s="12"/>
      <c r="S19" s="18" t="n">
        <f aca="false">(((C19-B19)+(C19&lt;B19))*24+((E19-D19)+(E19&lt;D19))*24+((G19-F19)+(G19&lt;F19))*24+((I19-H19)+(I19&lt;H19))*24+((K19-J19)+(K19&lt;J19))*24+((M19-L19)+(M19&lt;L19))*24+((O19-N19)+(O19&lt;N19))*24)*P19</f>
        <v>6600</v>
      </c>
    </row>
    <row r="20" s="1" customFormat="true" ht="16.5" hidden="false" customHeight="true" outlineLevel="0" collapsed="false">
      <c r="A20" s="14" t="s">
        <v>27</v>
      </c>
      <c r="B20" s="15" t="n">
        <v>0.5</v>
      </c>
      <c r="C20" s="16" t="n">
        <v>1</v>
      </c>
      <c r="D20" s="15" t="n">
        <v>0.5</v>
      </c>
      <c r="E20" s="16" t="n">
        <v>1</v>
      </c>
      <c r="F20" s="15"/>
      <c r="G20" s="16"/>
      <c r="H20" s="15" t="n">
        <v>0.5</v>
      </c>
      <c r="I20" s="16" t="n">
        <v>1</v>
      </c>
      <c r="J20" s="15"/>
      <c r="K20" s="16"/>
      <c r="L20" s="15"/>
      <c r="M20" s="16"/>
      <c r="N20" s="15"/>
      <c r="O20" s="15"/>
      <c r="P20" s="17" t="n">
        <v>150</v>
      </c>
      <c r="Q20" s="12"/>
      <c r="R20" s="12"/>
      <c r="S20" s="18" t="n">
        <f aca="false">(((C20-B20)+(C20&lt;B20))*24+((E20-D20)+(E20&lt;D20))*24+((G20-F20)+(G20&lt;F20))*24+((I20-H20)+(I20&lt;H20))*24+((K20-J20)+(K20&lt;J20))*24+((M20-L20)+(M20&lt;L20))*24+((O20-N20)+(O20&lt;N20))*24)*P20</f>
        <v>5400</v>
      </c>
    </row>
    <row r="21" s="1" customFormat="true" ht="16.5" hidden="false" customHeight="true" outlineLevel="0" collapsed="false">
      <c r="A21" s="14" t="s">
        <v>28</v>
      </c>
      <c r="B21" s="15" t="n">
        <v>0.583333333333333</v>
      </c>
      <c r="C21" s="16" t="n">
        <v>1</v>
      </c>
      <c r="D21" s="15" t="n">
        <v>0.583333333333333</v>
      </c>
      <c r="E21" s="16" t="n">
        <v>1</v>
      </c>
      <c r="F21" s="15" t="n">
        <v>0.583333333333333</v>
      </c>
      <c r="G21" s="16" t="n">
        <v>1</v>
      </c>
      <c r="H21" s="15" t="n">
        <v>0.583333333333333</v>
      </c>
      <c r="I21" s="15" t="n">
        <v>1</v>
      </c>
      <c r="J21" s="15"/>
      <c r="K21" s="15"/>
      <c r="L21" s="16"/>
      <c r="M21" s="16"/>
      <c r="N21" s="15"/>
      <c r="O21" s="16"/>
      <c r="P21" s="17" t="n">
        <v>200</v>
      </c>
      <c r="Q21" s="12"/>
      <c r="R21" s="12"/>
      <c r="S21" s="18" t="n">
        <f aca="false">(((C21-B21)+(C21&lt;B21))*24+((E21-D21)+(E21&lt;D21))*24+((G21-F21)+(G21&lt;F21))*24+((I21-H21)+(I21&lt;H21))*24+((K21-J21)+(K21&lt;J21))*24+((M21-L21)+(M21&lt;L21))*24+((O21-N21)+(O21&lt;N21))*24)*P21</f>
        <v>8000</v>
      </c>
    </row>
    <row r="22" s="1" customFormat="true" ht="16.5" hidden="false" customHeight="true" outlineLevel="0" collapsed="false">
      <c r="A22" s="14" t="s">
        <v>29</v>
      </c>
      <c r="B22" s="15" t="n">
        <v>0.708333333333333</v>
      </c>
      <c r="C22" s="16" t="n">
        <v>1</v>
      </c>
      <c r="D22" s="15"/>
      <c r="E22" s="16"/>
      <c r="F22" s="15" t="n">
        <v>0.708333333333333</v>
      </c>
      <c r="G22" s="16" t="n">
        <v>1</v>
      </c>
      <c r="H22" s="15" t="n">
        <v>0.75</v>
      </c>
      <c r="I22" s="16" t="n">
        <v>1</v>
      </c>
      <c r="J22" s="15"/>
      <c r="K22" s="16"/>
      <c r="L22" s="16"/>
      <c r="M22" s="16"/>
      <c r="N22" s="15"/>
      <c r="O22" s="16"/>
      <c r="P22" s="17" t="n">
        <v>150</v>
      </c>
      <c r="Q22" s="12"/>
      <c r="R22" s="12"/>
      <c r="S22" s="18" t="n">
        <f aca="false">(((C22-B22)+(C22&lt;B22))*24+((E22-D22)+(E22&lt;D22))*24+((G22-F22)+(G22&lt;F22))*24+((I22-H22)+(I22&lt;H22))*24+((K22-J22)+(K22&lt;J22))*24+((M22-L22)+(M22&lt;L22))*24+((O22-N22)+(O22&lt;N22))*24)*P22</f>
        <v>3000</v>
      </c>
    </row>
    <row r="23" s="1" customFormat="true" ht="16.5" hidden="false" customHeight="true" outlineLevel="0" collapsed="false">
      <c r="A23" s="14" t="s">
        <v>30</v>
      </c>
      <c r="B23" s="15"/>
      <c r="C23" s="16"/>
      <c r="D23" s="15" t="n">
        <v>0.652777777777778</v>
      </c>
      <c r="E23" s="16" t="n">
        <v>1</v>
      </c>
      <c r="F23" s="15" t="n">
        <v>0.652777777777778</v>
      </c>
      <c r="G23" s="16" t="n">
        <v>1</v>
      </c>
      <c r="H23" s="15" t="n">
        <v>0.541666666666667</v>
      </c>
      <c r="I23" s="16" t="n">
        <v>1</v>
      </c>
      <c r="J23" s="15"/>
      <c r="K23" s="16"/>
      <c r="L23" s="15"/>
      <c r="M23" s="16"/>
      <c r="N23" s="15"/>
      <c r="O23" s="15"/>
      <c r="P23" s="17" t="n">
        <v>200</v>
      </c>
      <c r="Q23" s="12"/>
      <c r="R23" s="12"/>
      <c r="S23" s="18" t="n">
        <f aca="false">(((C23-B23)+(C23&lt;B23))*24+((E23-D23)+(E23&lt;D23))*24+((G23-F23)+(G23&lt;F23))*24+((I23-H23)+(I23&lt;H23))*24+((K23-J23)+(K23&lt;J23))*24+((M23-L23)+(M23&lt;L23))*24+((O23-N23)+(O23&lt;N23))*24)*P23</f>
        <v>5533.33333333333</v>
      </c>
    </row>
    <row r="24" s="1" customFormat="true" ht="16.5" hidden="false" customHeight="true" outlineLevel="0" collapsed="false">
      <c r="A24" s="14" t="s">
        <v>31</v>
      </c>
      <c r="B24" s="15" t="n">
        <v>0.5</v>
      </c>
      <c r="C24" s="16" t="n">
        <v>0.958333333333333</v>
      </c>
      <c r="D24" s="15" t="n">
        <v>0.5</v>
      </c>
      <c r="E24" s="15" t="n">
        <v>0.958333333333333</v>
      </c>
      <c r="F24" s="15"/>
      <c r="G24" s="15"/>
      <c r="H24" s="15" t="n">
        <v>0.416666666666667</v>
      </c>
      <c r="I24" s="15" t="n">
        <v>0.958333333333333</v>
      </c>
      <c r="J24" s="15"/>
      <c r="K24" s="15"/>
      <c r="L24" s="15"/>
      <c r="M24" s="15"/>
      <c r="N24" s="15"/>
      <c r="O24" s="15"/>
      <c r="P24" s="17" t="n">
        <v>170</v>
      </c>
      <c r="Q24" s="12"/>
      <c r="R24" s="12"/>
      <c r="S24" s="18" t="n">
        <f aca="false">(((C24-B24)+(C24&lt;B24))*24+((E24-D24)+(E24&lt;D24))*24+((G24-F24)+(G24&lt;F24))*24+((I24-H24)+(I24&lt;H24))*24+((K24-J24)+(K24&lt;J24))*24+((M24-L24)+(M24&lt;L24))*24+((O24-N24)+(O24&lt;N24))*24)*P24</f>
        <v>5950</v>
      </c>
    </row>
    <row r="25" s="1" customFormat="true" ht="16.5" hidden="false" customHeight="true" outlineLevel="0" collapsed="false">
      <c r="A25" s="14" t="s">
        <v>32</v>
      </c>
      <c r="B25" s="15" t="n">
        <v>0</v>
      </c>
      <c r="C25" s="16" t="n">
        <v>0.333333333333333</v>
      </c>
      <c r="D25" s="15" t="n">
        <v>0</v>
      </c>
      <c r="E25" s="15" t="n">
        <v>0.333333333333333</v>
      </c>
      <c r="F25" s="15" t="n">
        <v>0</v>
      </c>
      <c r="G25" s="15" t="n">
        <v>0.333333333333333</v>
      </c>
      <c r="H25" s="15" t="n">
        <v>0</v>
      </c>
      <c r="I25" s="15" t="n">
        <v>0.333333333333333</v>
      </c>
      <c r="J25" s="15"/>
      <c r="K25" s="16"/>
      <c r="L25" s="16"/>
      <c r="M25" s="16"/>
      <c r="N25" s="15"/>
      <c r="O25" s="16"/>
      <c r="P25" s="17" t="n">
        <v>150</v>
      </c>
      <c r="Q25" s="12"/>
      <c r="R25" s="12"/>
      <c r="S25" s="18" t="n">
        <f aca="false">(((C25-B25)+(C25&lt;B25))*24+((E25-D25)+(E25&lt;D25))*24+((G25-F25)+(G25&lt;F25))*24+((I25-H25)+(I25&lt;H25))*24+((K25-J25)+(K25&lt;J25))*24+((M25-L25)+(M25&lt;L25))*24+((O25-N25)+(O25&lt;N25))*24)*P25</f>
        <v>4800</v>
      </c>
    </row>
    <row r="26" customFormat="false" ht="16.5" hidden="false" customHeight="true" outlineLevel="0" collapsed="false">
      <c r="A26" s="14" t="s">
        <v>33</v>
      </c>
      <c r="B26" s="15" t="n">
        <v>0</v>
      </c>
      <c r="C26" s="16" t="n">
        <v>0.333333333333333</v>
      </c>
      <c r="D26" s="15" t="n">
        <v>0</v>
      </c>
      <c r="E26" s="15" t="n">
        <v>0.333333333333333</v>
      </c>
      <c r="F26" s="15" t="n">
        <v>0</v>
      </c>
      <c r="G26" s="15" t="n">
        <v>0.333333333333333</v>
      </c>
      <c r="H26" s="15" t="n">
        <v>0</v>
      </c>
      <c r="I26" s="15" t="n">
        <v>0.333333333333333</v>
      </c>
      <c r="J26" s="15"/>
      <c r="K26" s="15"/>
      <c r="L26" s="15"/>
      <c r="M26" s="16"/>
      <c r="N26" s="15"/>
      <c r="O26" s="15"/>
      <c r="P26" s="17" t="n">
        <v>150</v>
      </c>
      <c r="Q26" s="12"/>
      <c r="R26" s="12"/>
      <c r="S26" s="18" t="n">
        <f aca="false">(((C26-B26)+(C26&lt;B26))*24+((E26-D26)+(E26&lt;D26))*24+((G26-F26)+(G26&lt;F26))*24+((I26-H26)+(I26&lt;H26))*24+((K26-J26)+(K26&lt;J26))*24+((M26-L26)+(M26&lt;L26))*24+((O26-N26)+(O26&lt;N26))*24)*P26</f>
        <v>4800</v>
      </c>
      <c r="T26" s="1"/>
    </row>
    <row r="27" customFormat="false" ht="16.5" hidden="false" customHeight="true" outlineLevel="0" collapsed="false">
      <c r="A27" s="14" t="s">
        <v>34</v>
      </c>
      <c r="B27" s="15"/>
      <c r="C27" s="16"/>
      <c r="D27" s="15"/>
      <c r="E27" s="16"/>
      <c r="F27" s="15"/>
      <c r="G27" s="16"/>
      <c r="H27" s="15"/>
      <c r="I27" s="15"/>
      <c r="J27" s="15"/>
      <c r="K27" s="16"/>
      <c r="L27" s="15"/>
      <c r="M27" s="16"/>
      <c r="N27" s="15"/>
      <c r="O27" s="16"/>
      <c r="P27" s="17" t="n">
        <v>150</v>
      </c>
      <c r="Q27" s="12"/>
      <c r="R27" s="12"/>
      <c r="S27" s="18" t="n">
        <f aca="false">(((C27-B27)+(C27&lt;B27))*24+((E27-D27)+(E27&lt;D27))*24+((G27-F27)+(G27&lt;F27))*24+((I27-H27)+(I27&lt;H27))*24+((K27-J27)+(K27&lt;J27))*24+((M27-L27)+(M27&lt;L27))*24+((O27-N27)+(O27&lt;N27))*24)*P27</f>
        <v>0</v>
      </c>
      <c r="T27" s="1"/>
    </row>
    <row r="28" customFormat="false" ht="16.5" hidden="false" customHeight="true" outlineLevel="0" collapsed="false">
      <c r="A28" s="14" t="s">
        <v>35</v>
      </c>
      <c r="B28" s="15" t="n">
        <v>0.666666666666667</v>
      </c>
      <c r="C28" s="16" t="n">
        <v>1</v>
      </c>
      <c r="D28" s="15"/>
      <c r="E28" s="16"/>
      <c r="F28" s="15" t="n">
        <v>0.666666666666667</v>
      </c>
      <c r="G28" s="16" t="n">
        <v>1</v>
      </c>
      <c r="H28" s="15" t="n">
        <v>0.708333333333333</v>
      </c>
      <c r="I28" s="16" t="n">
        <v>1</v>
      </c>
      <c r="J28" s="15"/>
      <c r="K28" s="16"/>
      <c r="L28" s="15"/>
      <c r="M28" s="16"/>
      <c r="N28" s="21"/>
      <c r="O28" s="16"/>
      <c r="P28" s="17" t="n">
        <v>150</v>
      </c>
      <c r="Q28" s="12"/>
      <c r="R28" s="12"/>
      <c r="S28" s="18" t="n">
        <f aca="false">(((C28-B28)+(C28&lt;B28))*24+((E28-D28)+(E28&lt;D28))*24+((G28-F28)+(G28&lt;F28))*24+((I28-H28)+(I28&lt;H28))*24+((K28-J28)+(K28&lt;J28))*24+((M28-L28)+(M28&lt;L28))*24+((O28-N29)+(O28&lt;N29))*24)*P28</f>
        <v>3450</v>
      </c>
      <c r="T28" s="1"/>
    </row>
    <row r="29" customFormat="false" ht="16.5" hidden="false" customHeight="true" outlineLevel="0" collapsed="false">
      <c r="A29" s="14" t="s">
        <v>36</v>
      </c>
      <c r="B29" s="15" t="n">
        <v>0.791666666666667</v>
      </c>
      <c r="C29" s="16" t="n">
        <v>1</v>
      </c>
      <c r="D29" s="15" t="n">
        <v>0.583333333333333</v>
      </c>
      <c r="E29" s="15" t="n">
        <v>1</v>
      </c>
      <c r="F29" s="15" t="n">
        <v>0.604166666666667</v>
      </c>
      <c r="G29" s="15" t="n">
        <v>1</v>
      </c>
      <c r="H29" s="15" t="n">
        <v>0.604166666666667</v>
      </c>
      <c r="I29" s="16" t="n">
        <v>1</v>
      </c>
      <c r="J29" s="15"/>
      <c r="K29" s="16"/>
      <c r="L29" s="15"/>
      <c r="M29" s="15"/>
      <c r="N29" s="15"/>
      <c r="O29" s="16"/>
      <c r="P29" s="17" t="n">
        <v>150</v>
      </c>
      <c r="Q29" s="12"/>
      <c r="R29" s="12"/>
      <c r="S29" s="18" t="n">
        <f aca="false">(((C29-B29)+(C29&lt;B29))*24+((E29-D29)+(E29&lt;D29))*24+((G29-F29)+(G29&lt;F29))*24+((I29-H29)+(I29&lt;H29))*24+((K29-J29)+(K29&lt;J29))*24+((M29-L29)+(M29&lt;L29))*24+((O29-N29)+(O29&lt;N29))*24)*P29</f>
        <v>5100</v>
      </c>
      <c r="T29" s="1"/>
    </row>
    <row r="30" customFormat="false" ht="16.5" hidden="false" customHeight="true" outlineLevel="0" collapsed="false">
      <c r="A30" s="14" t="s">
        <v>37</v>
      </c>
      <c r="B30" s="15"/>
      <c r="C30" s="15"/>
      <c r="D30" s="15" t="n">
        <v>0.354166666666667</v>
      </c>
      <c r="E30" s="16" t="n">
        <v>0.708333333333333</v>
      </c>
      <c r="F30" s="15" t="n">
        <v>0.354166666666667</v>
      </c>
      <c r="G30" s="15" t="n">
        <v>0.708333333333333</v>
      </c>
      <c r="H30" s="15"/>
      <c r="I30" s="15"/>
      <c r="J30" s="15"/>
      <c r="K30" s="16"/>
      <c r="L30" s="15"/>
      <c r="M30" s="16"/>
      <c r="N30" s="15"/>
      <c r="O30" s="16"/>
      <c r="P30" s="17" t="n">
        <v>150</v>
      </c>
      <c r="Q30" s="12"/>
      <c r="R30" s="12"/>
      <c r="S30" s="18" t="n">
        <f aca="false">(((C30-B30)+(C30&lt;B30))*24+((E30-D30)+(E30&lt;D30))*24+((G30-F30)+(G30&lt;F30))*24+((I30-H30)+(I30&lt;H30))*24+((K30-J30)+(K30&lt;J30))*24+((M30-L30)+(M30&lt;L30))*24+((O30-N31)+(O30&lt;N31))*24)*P30</f>
        <v>2550</v>
      </c>
      <c r="T30" s="1"/>
    </row>
    <row r="31" customFormat="false" ht="16.5" hidden="false" customHeight="true" outlineLevel="0" collapsed="false">
      <c r="A31" s="14" t="s">
        <v>38</v>
      </c>
      <c r="B31" s="15" t="n">
        <v>0.583333333333333</v>
      </c>
      <c r="C31" s="16" t="n">
        <v>1</v>
      </c>
      <c r="D31" s="15"/>
      <c r="E31" s="16"/>
      <c r="F31" s="15" t="n">
        <v>0.354166666666667</v>
      </c>
      <c r="G31" s="16" t="n">
        <v>1</v>
      </c>
      <c r="H31" s="15" t="n">
        <v>0.354166666666667</v>
      </c>
      <c r="I31" s="16" t="n">
        <v>0.979166666666667</v>
      </c>
      <c r="J31" s="15"/>
      <c r="K31" s="16"/>
      <c r="L31" s="15"/>
      <c r="M31" s="16"/>
      <c r="N31" s="15"/>
      <c r="O31" s="16"/>
      <c r="P31" s="17" t="n">
        <v>150</v>
      </c>
      <c r="Q31" s="12"/>
      <c r="R31" s="12"/>
      <c r="S31" s="18" t="n">
        <f aca="false">(((C31-B31)+(C31&lt;B31))*24+((E31-D31)+(E31&lt;D31))*24+((G31-F31)+(G31&lt;F31))*24+((I31-H31)+(I31&lt;H31))*24+((K31-J31)+(K31&lt;J31))*24+((M31-L31)+(M31&lt;L31))*24+((O31-N31)+(O31&lt;N31))*24)*P31</f>
        <v>6075</v>
      </c>
      <c r="T31" s="1"/>
    </row>
    <row r="32" customFormat="false" ht="16.5" hidden="false" customHeight="true" outlineLevel="0" collapsed="false">
      <c r="A32" s="14" t="s">
        <v>39</v>
      </c>
      <c r="B32" s="15"/>
      <c r="C32" s="16"/>
      <c r="D32" s="15" t="n">
        <v>0.583333333333333</v>
      </c>
      <c r="E32" s="15" t="n">
        <v>0.9375</v>
      </c>
      <c r="F32" s="15"/>
      <c r="G32" s="15"/>
      <c r="H32" s="15"/>
      <c r="I32" s="16"/>
      <c r="J32" s="15"/>
      <c r="K32" s="16"/>
      <c r="L32" s="15"/>
      <c r="M32" s="15"/>
      <c r="N32" s="15"/>
      <c r="O32" s="16"/>
      <c r="P32" s="17" t="n">
        <v>150</v>
      </c>
      <c r="Q32" s="12"/>
      <c r="R32" s="12"/>
      <c r="S32" s="18" t="n">
        <f aca="false">(((C32-B32)+(C32&lt;B32))*24+((E32-D32)+(E32&lt;D32))*24+((G32-F32)+(G32&lt;F32))*24+((I32-H32)+(I32&lt;H32))*24+((K32-J32)+(K32&lt;J32))*24+((M32-L32)+(M32&lt;L32))*24+((O32-N32)+(O32&lt;N32))*24)*P32</f>
        <v>1275</v>
      </c>
      <c r="T32" s="1"/>
    </row>
    <row r="33" customFormat="false" ht="16.5" hidden="false" customHeight="true" outlineLevel="0" collapsed="false">
      <c r="A33" s="14" t="s">
        <v>40</v>
      </c>
      <c r="B33" s="15"/>
      <c r="C33" s="16"/>
      <c r="D33" s="15" t="n">
        <v>0.666666666666667</v>
      </c>
      <c r="E33" s="16" t="n">
        <v>1</v>
      </c>
      <c r="F33" s="15"/>
      <c r="G33" s="16"/>
      <c r="H33" s="15" t="n">
        <v>0.625</v>
      </c>
      <c r="I33" s="16" t="n">
        <v>1</v>
      </c>
      <c r="J33" s="15"/>
      <c r="K33" s="16"/>
      <c r="L33" s="15"/>
      <c r="M33" s="15"/>
      <c r="N33" s="15"/>
      <c r="O33" s="15"/>
      <c r="P33" s="17" t="n">
        <v>150</v>
      </c>
      <c r="Q33" s="12"/>
      <c r="R33" s="12"/>
      <c r="S33" s="18" t="n">
        <f aca="false">(((C33-B33)+(C33&lt;B33))*24+((E33-D33)+(E33&lt;D33))*24+((G33-F33)+(G33&lt;F33))*24+((I33-H33)+(I33&lt;H33))*24+((K33-J33)+(K33&lt;J33))*24+((M33-L33)+(M33&lt;L33))*24+((O33-N33)+(O33&lt;N33))*24)*P33</f>
        <v>2550</v>
      </c>
      <c r="T33" s="1"/>
    </row>
    <row r="34" customFormat="false" ht="16.5" hidden="false" customHeight="true" outlineLevel="0" collapsed="false">
      <c r="A34" s="14" t="s">
        <v>41</v>
      </c>
      <c r="B34" s="15"/>
      <c r="C34" s="16"/>
      <c r="D34" s="15"/>
      <c r="E34" s="16"/>
      <c r="F34" s="15"/>
      <c r="G34" s="16"/>
      <c r="H34" s="15" t="n">
        <v>0.625</v>
      </c>
      <c r="I34" s="16" t="n">
        <v>1</v>
      </c>
      <c r="J34" s="15"/>
      <c r="K34" s="16"/>
      <c r="L34" s="15"/>
      <c r="M34" s="16"/>
      <c r="N34" s="15"/>
      <c r="O34" s="15"/>
      <c r="P34" s="17" t="n">
        <v>140</v>
      </c>
      <c r="Q34" s="12"/>
      <c r="R34" s="12"/>
      <c r="S34" s="18" t="n">
        <f aca="false">(((C34-B34)+(C34&lt;B34))*24+((E34-D34)+(E34&lt;D34))*24+((G34-F34)+(G34&lt;F34))*24+((I34-H34)+(I34&lt;H34))*24+((K34-J34)+(K34&lt;J34))*24+((M34-L34)+(M34&lt;L34))*24+((O34-N34)+(O34&lt;N34))*24)*P34</f>
        <v>1260</v>
      </c>
      <c r="T34" s="1"/>
    </row>
    <row r="35" customFormat="false" ht="16.5" hidden="false" customHeight="true" outlineLevel="0" collapsed="false">
      <c r="A35" s="14" t="s">
        <v>42</v>
      </c>
      <c r="B35" s="15"/>
      <c r="C35" s="16"/>
      <c r="D35" s="15"/>
      <c r="E35" s="16"/>
      <c r="F35" s="15"/>
      <c r="G35" s="16"/>
      <c r="H35" s="15" t="n">
        <v>0.645833333333333</v>
      </c>
      <c r="I35" s="16" t="n">
        <v>0.979166666666667</v>
      </c>
      <c r="J35" s="15"/>
      <c r="K35" s="16"/>
      <c r="L35" s="15"/>
      <c r="M35" s="16"/>
      <c r="N35" s="15"/>
      <c r="O35" s="15"/>
      <c r="P35" s="17" t="n">
        <v>150</v>
      </c>
      <c r="Q35" s="12"/>
      <c r="R35" s="12"/>
      <c r="S35" s="18" t="n">
        <f aca="false">(((C35-B35)+(C35&lt;B35))*24+((E35-D35)+(E35&lt;D35))*24+((G35-F35)+(G35&lt;F35))*24+((I35-H35)+(I35&lt;H35))*24+((K35-J35)+(K35&lt;J35))*24+((M35-L35)+(M35&lt;L35))*24+((O35-N35)+(O35&lt;N35))*24)*P35</f>
        <v>1200</v>
      </c>
      <c r="T35" s="1"/>
    </row>
    <row r="36" customFormat="false" ht="16.5" hidden="false" customHeight="true" outlineLevel="0" collapsed="false">
      <c r="A36" s="14" t="s">
        <v>43</v>
      </c>
      <c r="B36" s="15"/>
      <c r="C36" s="15"/>
      <c r="D36" s="15"/>
      <c r="E36" s="15"/>
      <c r="F36" s="15"/>
      <c r="G36" s="15"/>
      <c r="H36" s="15" t="n">
        <v>0.6875</v>
      </c>
      <c r="I36" s="16" t="n">
        <v>1</v>
      </c>
      <c r="J36" s="15"/>
      <c r="K36" s="16"/>
      <c r="L36" s="15"/>
      <c r="M36" s="16"/>
      <c r="N36" s="15"/>
      <c r="O36" s="16"/>
      <c r="P36" s="17" t="n">
        <v>150</v>
      </c>
      <c r="Q36" s="12"/>
      <c r="R36" s="12"/>
      <c r="S36" s="18" t="n">
        <f aca="false">(((C36-B36)+(C36&lt;B36))*24+((E36-D36)+(E36&lt;D36))*24+((G36-F36)+(G36&lt;F36))*24+((I36-H36)+(I36&lt;H36))*24+((K36-J36)+(K36&lt;J36))*24+((M36-L36)+(M36&lt;L36))*24+((O36-N36)+(O36&lt;N36))*24)*P36</f>
        <v>1125</v>
      </c>
      <c r="T36" s="1"/>
    </row>
    <row r="37" customFormat="false" ht="16.5" hidden="false" customHeight="true" outlineLevel="0" collapsed="false">
      <c r="A37" s="14" t="s">
        <v>44</v>
      </c>
      <c r="B37" s="15"/>
      <c r="C37" s="16"/>
      <c r="D37" s="15"/>
      <c r="E37" s="16"/>
      <c r="F37" s="15"/>
      <c r="G37" s="16"/>
      <c r="H37" s="15" t="n">
        <v>0.6875</v>
      </c>
      <c r="I37" s="16" t="n">
        <v>0.958333333333333</v>
      </c>
      <c r="J37" s="15"/>
      <c r="K37" s="16"/>
      <c r="L37" s="15"/>
      <c r="M37" s="16"/>
      <c r="N37" s="15"/>
      <c r="O37" s="16"/>
      <c r="P37" s="17" t="n">
        <v>150</v>
      </c>
      <c r="Q37" s="12"/>
      <c r="R37" s="12"/>
      <c r="S37" s="18" t="n">
        <f aca="false">(((C37-B37)+(C37&lt;B37))*24+((E37-D37)+(E37&lt;D37))*24+((G37-F37)+(G37&lt;F37))*24+((I37-H37)+(I37&lt;H37))*24+((K37-J37)+(K37&lt;J37))*24+((M37-L37)+(M37&lt;L37))*24+((O37-N37)+(O37&lt;N37))*24)*P37</f>
        <v>975</v>
      </c>
      <c r="T37" s="1"/>
    </row>
    <row r="38" customFormat="false" ht="14.25" hidden="false" customHeight="false" outlineLevel="0" collapsed="false">
      <c r="A38" s="14" t="s">
        <v>45</v>
      </c>
      <c r="B38" s="15"/>
      <c r="C38" s="16"/>
      <c r="D38" s="15"/>
      <c r="E38" s="16"/>
      <c r="F38" s="15"/>
      <c r="G38" s="16"/>
      <c r="H38" s="15" t="n">
        <v>0.708333333333333</v>
      </c>
      <c r="I38" s="16" t="n">
        <v>1</v>
      </c>
      <c r="J38" s="15"/>
      <c r="K38" s="16"/>
      <c r="L38" s="15"/>
      <c r="M38" s="16"/>
      <c r="N38" s="15"/>
      <c r="O38" s="16"/>
      <c r="P38" s="17" t="n">
        <v>150</v>
      </c>
      <c r="Q38" s="12"/>
      <c r="R38" s="12"/>
      <c r="S38" s="18" t="n">
        <f aca="false">(((C38-B38)+(C38&lt;B38))*24+((E38-D38)+(E38&lt;D38))*24+((G38-F38)+(G38&lt;F38))*24+((I38-H38)+(I38&lt;H38))*24+((K38-J38)+(K38&lt;J38))*24+((M38-L38)+(M38&lt;L38))*24+((O38-N38)+(O38&lt;N38))*24)*P38</f>
        <v>1050</v>
      </c>
      <c r="T38" s="1"/>
    </row>
    <row r="39" customFormat="false" ht="14.25" hidden="false" customHeight="false" outlineLevel="0" collapsed="false">
      <c r="A39" s="14"/>
      <c r="B39" s="15"/>
      <c r="C39" s="15"/>
      <c r="D39" s="15"/>
      <c r="E39" s="15"/>
      <c r="F39" s="15"/>
      <c r="G39" s="15"/>
      <c r="H39" s="15"/>
      <c r="I39" s="16"/>
      <c r="J39" s="15"/>
      <c r="K39" s="15"/>
      <c r="L39" s="15"/>
      <c r="M39" s="15"/>
      <c r="N39" s="15"/>
      <c r="O39" s="15"/>
      <c r="P39" s="17"/>
      <c r="Q39" s="12"/>
      <c r="R39" s="12"/>
      <c r="S39" s="18" t="n">
        <f aca="false">(((C39-B39)+(C39&lt;B39))*24+((E39-D39)+(E39&lt;D39))*24+((G39-F39)+(G39&lt;F39))*24+((I39-H39)+(I39&lt;H39))*24+((K39-J39)+(K39&lt;J39))*24+((M39-L39)+(M39&lt;L39))*24+((O39-N39)+(O39&lt;N39))*24)*P39</f>
        <v>0</v>
      </c>
      <c r="T39" s="1"/>
    </row>
    <row r="40" customFormat="false" ht="14.25" hidden="false" customHeight="false" outlineLevel="0" collapsed="false">
      <c r="A40" s="14"/>
      <c r="B40" s="15"/>
      <c r="C40" s="16"/>
      <c r="D40" s="15"/>
      <c r="E40" s="16"/>
      <c r="F40" s="15"/>
      <c r="G40" s="16"/>
      <c r="H40" s="15"/>
      <c r="I40" s="16"/>
      <c r="J40" s="15"/>
      <c r="K40" s="16"/>
      <c r="L40" s="15"/>
      <c r="M40" s="16"/>
      <c r="N40" s="15"/>
      <c r="O40" s="16"/>
      <c r="P40" s="17"/>
      <c r="Q40" s="12"/>
      <c r="R40" s="12"/>
      <c r="S40" s="18" t="n">
        <f aca="false">(((C40-B40)+(C40&lt;B40))*24+((E40-D40)+(E40&lt;D40))*24+((G40-F40)+(G40&lt;F40))*24+((I40-H40)+(I40&lt;H40))*24+((K40-J40)+(K40&lt;J40))*24+((M40-L40)+(M40&lt;L40))*24+((O40-N40)+(O40&lt;N40))*24)*P40</f>
        <v>0</v>
      </c>
      <c r="T40" s="1"/>
    </row>
    <row r="41" customFormat="false" ht="14.25" hidden="false" customHeight="false" outlineLevel="0" collapsed="false">
      <c r="A41" s="14"/>
      <c r="B41" s="19"/>
      <c r="C41" s="19"/>
      <c r="D41" s="15"/>
      <c r="E41" s="15"/>
      <c r="F41" s="15"/>
      <c r="G41" s="16"/>
      <c r="H41" s="15"/>
      <c r="I41" s="16"/>
      <c r="J41" s="15"/>
      <c r="K41" s="15"/>
      <c r="L41" s="15"/>
      <c r="M41" s="16"/>
      <c r="N41" s="15"/>
      <c r="O41" s="16"/>
      <c r="P41" s="17"/>
      <c r="Q41" s="12"/>
      <c r="R41" s="12"/>
      <c r="S41" s="18" t="n">
        <f aca="false">(((C41-B41)+(C41&lt;B41))*24+((E41-D41)+(E41&lt;D41))*24+((G41-F41)+(G41&lt;F41))*24+((I41-H41)+(I41&lt;H41))*24+((K41-J41)+(K41&lt;J41))*24+((M41-L41)+(M41&lt;L41))*24+((O41-N41)+(O41&lt;N41))*24)*P41</f>
        <v>0</v>
      </c>
      <c r="T41" s="1"/>
    </row>
    <row r="42" customFormat="false" ht="14.25" hidden="false" customHeight="false" outlineLevel="0" collapsed="false">
      <c r="A42" s="14"/>
      <c r="B42" s="15"/>
      <c r="C42" s="16"/>
      <c r="D42" s="15"/>
      <c r="E42" s="16"/>
      <c r="F42" s="15"/>
      <c r="G42" s="16"/>
      <c r="H42" s="15"/>
      <c r="I42" s="16"/>
      <c r="J42" s="15"/>
      <c r="K42" s="16"/>
      <c r="L42" s="15"/>
      <c r="M42" s="15"/>
      <c r="N42" s="19"/>
      <c r="O42" s="19"/>
      <c r="P42" s="17"/>
      <c r="Q42" s="12"/>
      <c r="R42" s="12"/>
      <c r="S42" s="18" t="n">
        <f aca="false">(((C42-B42)+(C42&lt;B42))*24+((E42-D42)+(E42&lt;D42))*24+((G42-F42)+(G42&lt;F42))*24+((I42-H42)+(I42&lt;H42))*24+((K42-J42)+(K42&lt;J42))*24+((M42-L42)+(M42&lt;L42))*24+((O42-N42)+(O42&lt;N42))*24)*P42</f>
        <v>0</v>
      </c>
    </row>
    <row r="43" customFormat="false" ht="14.25" hidden="false" customHeight="false" outlineLevel="0" collapsed="false">
      <c r="A43" s="14"/>
      <c r="B43" s="19"/>
      <c r="C43" s="19"/>
      <c r="D43" s="15"/>
      <c r="E43" s="16"/>
      <c r="F43" s="19"/>
      <c r="G43" s="19"/>
      <c r="H43" s="19"/>
      <c r="I43" s="19"/>
      <c r="J43" s="19"/>
      <c r="K43" s="19"/>
      <c r="L43" s="15"/>
      <c r="M43" s="15"/>
      <c r="N43" s="15"/>
      <c r="O43" s="15"/>
      <c r="P43" s="17"/>
      <c r="Q43" s="12"/>
      <c r="R43" s="12"/>
      <c r="S43" s="18" t="n">
        <f aca="false">(((C43-B43)+(C43&lt;B43))*24+((E43-D43)+(E43&lt;D43))*24+((G43-F43)+(G43&lt;F43))*24+((I43-H43)+(I43&lt;H43))*24+((K43-J43)+(K43&lt;J43))*24+((M43-L43)+(M43&lt;L43))*24+((O43-N43)+(O43&lt;N43))*24)*P43</f>
        <v>0</v>
      </c>
    </row>
    <row r="44" customFormat="false" ht="14.25" hidden="false" customHeight="false" outlineLevel="0" collapsed="false">
      <c r="A44" s="14"/>
      <c r="B44" s="15"/>
      <c r="C44" s="15"/>
      <c r="D44" s="15"/>
      <c r="E44" s="15"/>
      <c r="F44" s="19"/>
      <c r="G44" s="19"/>
      <c r="H44" s="19"/>
      <c r="I44" s="19"/>
      <c r="J44" s="19"/>
      <c r="K44" s="19"/>
      <c r="L44" s="15"/>
      <c r="M44" s="16"/>
      <c r="N44" s="15"/>
      <c r="O44" s="16"/>
      <c r="P44" s="17"/>
      <c r="Q44" s="12"/>
      <c r="R44" s="12"/>
      <c r="S44" s="18" t="n">
        <f aca="false">(((C44-B44)+(C44&lt;B44))*24+((E44-D44)+(E44&lt;D44))*24+((G44-F44)+(G44&lt;F44))*24+((I44-H44)+(I44&lt;H44))*24+((K44-J44)+(K44&lt;J44))*24+((M44-L44)+(M44&lt;L44))*24+((O44-N44)+(O44&lt;N44))*24)*P44</f>
        <v>0</v>
      </c>
    </row>
    <row r="45" customFormat="false" ht="14.25" hidden="false" customHeight="false" outlineLevel="0" collapsed="false">
      <c r="A45" s="22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7"/>
      <c r="Q45" s="12"/>
      <c r="R45" s="12"/>
      <c r="S45" s="18" t="n">
        <f aca="false">B46+D46+F46+H46+J46+L46+N46</f>
        <v>0</v>
      </c>
    </row>
    <row r="46" customFormat="false" ht="14.25" hidden="false" customHeight="false" outlineLevel="0" collapsed="false">
      <c r="A46" s="22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7"/>
      <c r="Q46" s="12"/>
      <c r="R46" s="12"/>
      <c r="S46" s="18" t="n">
        <f aca="false">(((C46-B46)+(C46&lt;B46))*24+((E46-D46)+(E46&lt;D46))*24+((G46-F46)+(G46&lt;F46))*24+((I46-H46)+(I46&lt;H46))*24+((K46-J46)+(K46&lt;J46))*24+((M46-L46)+(M46&lt;L46))*24+((O46-N46)+(O46&lt;N46))*24)*P46</f>
        <v>0</v>
      </c>
    </row>
    <row r="47" customFormat="false" ht="14.25" hidden="false" customHeight="false" outlineLevel="0" collapsed="false">
      <c r="A47" s="22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7"/>
      <c r="Q47" s="12"/>
      <c r="R47" s="12"/>
      <c r="S47" s="17" t="n">
        <f aca="false">(((C47-B47)+(C47&lt;B47))*24+((E47-D47)+(E47&lt;D47))*24+((G47-F47)+(G47&lt;F47))*24+((I47-H47)+(I47&lt;H47))*24+((K47-J47)+(K47&lt;J47))*24+((M47-L47)+(M47&lt;L47))*24+((O47-N47)+(O47&lt;N47))*24)*P47</f>
        <v>0</v>
      </c>
      <c r="T47" s="23"/>
    </row>
  </sheetData>
  <mergeCells count="8">
    <mergeCell ref="A1:A2"/>
    <mergeCell ref="B1:C1"/>
    <mergeCell ref="D1:E1"/>
    <mergeCell ref="F1:G1"/>
    <mergeCell ref="H1:I1"/>
    <mergeCell ref="J1:K1"/>
    <mergeCell ref="L1:M1"/>
    <mergeCell ref="N1:O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tr-TR</dc:language>
  <cp:lastModifiedBy/>
  <dcterms:modified xsi:type="dcterms:W3CDTF">2026-10-09T20:11:23Z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